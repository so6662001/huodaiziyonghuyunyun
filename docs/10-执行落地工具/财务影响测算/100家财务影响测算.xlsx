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现状基线" sheetId="1" state="visible" r:id="rId1"/>
    <sheet name="2-单引擎(无改革)" sheetId="2" state="visible" r:id="rId2"/>
    <sheet name="3-双引擎(改革后)" sheetId="3" state="visible" r:id="rId3"/>
    <sheet name="4-成本投入" sheetId="4" state="visible" r:id="rId4"/>
    <sheet name="5-敏感性分析" sheetId="5" state="visible" r:id="rId5"/>
    <sheet name="6-含新用户全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8"/>
      <sz val="16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C53030"/>
      <sz val="16"/>
    </font>
    <font>
      <name val="微软雅黑"/>
      <b val="1"/>
      <color rgb="00047857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6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4" fillId="4" borderId="0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各分层年营收构成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'3-双引擎(改革后)'!E3</f>
            </strRef>
          </tx>
          <spPr>
            <a:ln>
              <a:prstDash val="solid"/>
            </a:ln>
          </spPr>
          <cat>
            <numRef>
              <f>'3-双引擎(改革后)'!$A$4:$A$7</f>
            </numRef>
          </cat>
          <val>
            <numRef>
              <f>'3-双引擎(改革后)'!$E$4:$E$7</f>
            </numRef>
          </val>
        </ser>
        <ser>
          <idx val="1"/>
          <order val="1"/>
          <tx>
            <strRef>
              <f>'3-双引擎(改革后)'!F3</f>
            </strRef>
          </tx>
          <spPr>
            <a:ln>
              <a:prstDash val="solid"/>
            </a:ln>
          </spPr>
          <cat>
            <numRef>
              <f>'3-双引擎(改革后)'!$A$4:$A$7</f>
            </numRef>
          </cat>
          <val>
            <numRef>
              <f>'3-双引擎(改革后)'!$F$4:$F$7</f>
            </numRef>
          </val>
        </ser>
        <ser>
          <idx val="2"/>
          <order val="2"/>
          <tx>
            <strRef>
              <f>'3-双引擎(改革后)'!G3</f>
            </strRef>
          </tx>
          <spPr>
            <a:ln>
              <a:prstDash val="solid"/>
            </a:ln>
          </spPr>
          <cat>
            <numRef>
              <f>'3-双引擎(改革后)'!$A$4:$A$7</f>
            </numRef>
          </cat>
          <val>
            <numRef>
              <f>'3-双引擎(改革后)'!$G$4:$G$7</f>
            </numRef>
          </val>
        </ser>
        <ser>
          <idx val="3"/>
          <order val="3"/>
          <tx>
            <strRef>
              <f>'3-双引擎(改革后)'!H3</f>
            </strRef>
          </tx>
          <spPr>
            <a:ln>
              <a:prstDash val="solid"/>
            </a:ln>
          </spPr>
          <cat>
            <numRef>
              <f>'3-双引擎(改革后)'!$A$4:$A$7</f>
            </numRef>
          </cat>
          <val>
            <numRef>
              <f>'3-双引擎(改革后)'!$H$4:$H$7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分层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金额（元）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>
      <c r="A1" s="1" t="inlineStr">
        <is>
          <t>M0 现状（改革前）</t>
        </is>
      </c>
    </row>
    <row r="3">
      <c r="A3" s="2" t="inlineStr">
        <is>
          <t>分层</t>
        </is>
      </c>
      <c r="B3" s="2" t="inlineStr">
        <is>
          <t>家数</t>
        </is>
      </c>
      <c r="C3" s="2" t="inlineStr">
        <is>
          <t>月活</t>
        </is>
      </c>
      <c r="D3" s="2" t="inlineStr">
        <is>
          <t>月发库存</t>
        </is>
      </c>
      <c r="E3" s="2" t="inlineStr">
        <is>
          <t>年会员费(每家)</t>
        </is>
      </c>
      <c r="F3" s="2" t="inlineStr">
        <is>
          <t>年付费(合计)</t>
        </is>
      </c>
    </row>
    <row r="4">
      <c r="A4" s="3" t="inlineStr">
        <is>
          <t>A 核心活跃</t>
        </is>
      </c>
      <c r="B4" s="3" t="n">
        <v>25</v>
      </c>
      <c r="C4" s="3" t="inlineStr">
        <is>
          <t>≥10 次</t>
        </is>
      </c>
      <c r="D4" s="3" t="inlineStr">
        <is>
          <t>≥20 条</t>
        </is>
      </c>
      <c r="E4" s="3" t="n">
        <v>6000</v>
      </c>
      <c r="F4" s="3" t="n">
        <v>150000</v>
      </c>
    </row>
    <row r="5">
      <c r="A5" s="3" t="inlineStr">
        <is>
          <t>B 稳定活跃</t>
        </is>
      </c>
      <c r="B5" s="3" t="n">
        <v>35</v>
      </c>
      <c r="C5" s="3" t="inlineStr">
        <is>
          <t>5-9 次</t>
        </is>
      </c>
      <c r="D5" s="3" t="inlineStr">
        <is>
          <t>5-19 条</t>
        </is>
      </c>
      <c r="E5" s="3" t="n">
        <v>6000</v>
      </c>
      <c r="F5" s="3" t="n">
        <v>210000</v>
      </c>
    </row>
    <row r="6">
      <c r="A6" s="3" t="inlineStr">
        <is>
          <t>C 低频</t>
        </is>
      </c>
      <c r="B6" s="3" t="n">
        <v>25</v>
      </c>
      <c r="C6" s="3" t="inlineStr">
        <is>
          <t>1-4 次</t>
        </is>
      </c>
      <c r="D6" s="3" t="inlineStr">
        <is>
          <t>&lt;5 条</t>
        </is>
      </c>
      <c r="E6" s="3" t="n">
        <v>6000</v>
      </c>
      <c r="F6" s="3" t="n">
        <v>150000</v>
      </c>
    </row>
    <row r="7">
      <c r="A7" s="3" t="inlineStr">
        <is>
          <t>D 休眠</t>
        </is>
      </c>
      <c r="B7" s="3" t="n">
        <v>15</v>
      </c>
      <c r="C7" s="3" t="inlineStr">
        <is>
          <t>0 次</t>
        </is>
      </c>
      <c r="D7" s="3" t="inlineStr">
        <is>
          <t>0 条</t>
        </is>
      </c>
      <c r="E7" s="3" t="n">
        <v>6000</v>
      </c>
      <c r="F7" s="3" t="n">
        <v>90000</v>
      </c>
    </row>
    <row r="8">
      <c r="A8" s="4" t="inlineStr">
        <is>
          <t>合计</t>
        </is>
      </c>
      <c r="B8" s="4" t="n">
        <v>100</v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n">
        <v>600000</v>
      </c>
    </row>
    <row r="10">
      <c r="A10" s="5" t="inlineStr">
        <is>
          <t>核心结论</t>
        </is>
      </c>
      <c r="B10" t="inlineStr">
        <is>
          <t>M0 年营收 ¥60 万</t>
        </is>
      </c>
      <c r="C10" t="inlineStr">
        <is>
          <t>月均 ¥5 万</t>
        </is>
      </c>
      <c r="D10" t="inlineStr">
        <is>
          <t>纯会员费</t>
        </is>
      </c>
      <c r="E10" t="inlineStr"/>
      <c r="F10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6" t="inlineStr">
        <is>
          <t>单引擎预测（不做改革，自然衰减）</t>
        </is>
      </c>
    </row>
    <row r="3">
      <c r="A3" s="2" t="inlineStr">
        <is>
          <t>分层</t>
        </is>
      </c>
      <c r="B3" s="2" t="inlineStr">
        <is>
          <t>初始家数</t>
        </is>
      </c>
      <c r="C3" s="2" t="inlineStr">
        <is>
          <t>续费率</t>
        </is>
      </c>
      <c r="D3" s="2" t="inlineStr">
        <is>
          <t>12 月留存</t>
        </is>
      </c>
      <c r="E3" s="2" t="inlineStr">
        <is>
          <t>年营收</t>
        </is>
      </c>
    </row>
    <row r="4">
      <c r="A4" s="3" t="inlineStr">
        <is>
          <t>A</t>
        </is>
      </c>
      <c r="B4" s="3" t="n">
        <v>25</v>
      </c>
      <c r="C4" s="3" t="n">
        <v>0.85</v>
      </c>
      <c r="D4" s="3" t="n">
        <v>21.25</v>
      </c>
      <c r="E4" s="3" t="n">
        <v>127500</v>
      </c>
    </row>
    <row r="5">
      <c r="A5" s="3" t="inlineStr">
        <is>
          <t>B</t>
        </is>
      </c>
      <c r="B5" s="3" t="n">
        <v>35</v>
      </c>
      <c r="C5" s="3" t="n">
        <v>0.7</v>
      </c>
      <c r="D5" s="3" t="n">
        <v>24.5</v>
      </c>
      <c r="E5" s="3" t="n">
        <v>147000</v>
      </c>
    </row>
    <row r="6">
      <c r="A6" s="3" t="inlineStr">
        <is>
          <t>C</t>
        </is>
      </c>
      <c r="B6" s="3" t="n">
        <v>25</v>
      </c>
      <c r="C6" s="3" t="n">
        <v>0.5</v>
      </c>
      <c r="D6" s="3" t="n">
        <v>12.5</v>
      </c>
      <c r="E6" s="3" t="n">
        <v>75000</v>
      </c>
    </row>
    <row r="7">
      <c r="A7" s="3" t="inlineStr">
        <is>
          <t>D</t>
        </is>
      </c>
      <c r="B7" s="3" t="n">
        <v>15</v>
      </c>
      <c r="C7" s="3" t="n">
        <v>0.1</v>
      </c>
      <c r="D7" s="3" t="n">
        <v>1.5</v>
      </c>
      <c r="E7" s="3" t="n">
        <v>9000</v>
      </c>
    </row>
    <row r="8">
      <c r="A8" s="7" t="inlineStr">
        <is>
          <t>合计</t>
        </is>
      </c>
      <c r="B8" s="7" t="n">
        <v>100</v>
      </c>
      <c r="C8" s="7" t="inlineStr">
        <is>
          <t>-</t>
        </is>
      </c>
      <c r="D8" s="7" t="n">
        <v>59.75</v>
      </c>
      <c r="E8" s="7" t="n">
        <v>358500</v>
      </c>
    </row>
    <row r="10">
      <c r="A10" s="5" t="inlineStr">
        <is>
          <t>结论</t>
        </is>
      </c>
      <c r="B10" t="inlineStr">
        <is>
          <t>12 月后留存 60 家</t>
        </is>
      </c>
      <c r="C10" t="inlineStr">
        <is>
          <t>营收 ¥358,500</t>
        </is>
      </c>
      <c r="D10" t="inlineStr">
        <is>
          <t>vs M0 降幅 -40%</t>
        </is>
      </c>
      <c r="E10" t="inlineStr">
        <is>
          <t>进入衰退期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>
      <c r="A1" s="8" t="inlineStr">
        <is>
          <t>双引擎预测（改革后 12 个月）</t>
        </is>
      </c>
    </row>
    <row r="3">
      <c r="A3" s="2" t="inlineStr">
        <is>
          <t>分层</t>
        </is>
      </c>
      <c r="B3" s="2" t="inlineStr">
        <is>
          <t>初始家数</t>
        </is>
      </c>
      <c r="C3" s="2" t="inlineStr">
        <is>
          <t>续费率</t>
        </is>
      </c>
      <c r="D3" s="2" t="inlineStr">
        <is>
          <t>12 月留存</t>
        </is>
      </c>
      <c r="E3" s="2" t="inlineStr">
        <is>
          <t>会员费</t>
        </is>
      </c>
      <c r="F3" s="2" t="inlineStr">
        <is>
          <t>流量费</t>
        </is>
      </c>
      <c r="G3" s="2" t="inlineStr">
        <is>
          <t>增值服务</t>
        </is>
      </c>
      <c r="H3" s="2" t="inlineStr">
        <is>
          <t>黑金升级</t>
        </is>
      </c>
      <c r="I3" s="2" t="inlineStr">
        <is>
          <t>年营收合计</t>
        </is>
      </c>
    </row>
    <row r="4">
      <c r="A4" s="3" t="inlineStr">
        <is>
          <t>A</t>
        </is>
      </c>
      <c r="B4" s="3" t="n">
        <v>25</v>
      </c>
      <c r="C4" s="3" t="n">
        <v>0.95</v>
      </c>
      <c r="D4" s="3" t="n">
        <v>23.75</v>
      </c>
      <c r="E4" s="3" t="n">
        <v>71250</v>
      </c>
      <c r="F4" s="3" t="n">
        <v>342000</v>
      </c>
      <c r="G4" s="3" t="n">
        <v>34029</v>
      </c>
      <c r="H4" s="3" t="n">
        <v>45125</v>
      </c>
      <c r="I4" s="3" t="n">
        <v>492404</v>
      </c>
    </row>
    <row r="5">
      <c r="A5" s="3" t="inlineStr">
        <is>
          <t>B</t>
        </is>
      </c>
      <c r="B5" s="3" t="n">
        <v>35</v>
      </c>
      <c r="C5" s="3" t="n">
        <v>0.8</v>
      </c>
      <c r="D5" s="3" t="n">
        <v>28</v>
      </c>
      <c r="E5" s="3" t="n">
        <v>84000</v>
      </c>
      <c r="F5" s="3" t="n">
        <v>134400</v>
      </c>
      <c r="G5" s="3" t="n">
        <v>20059.2</v>
      </c>
      <c r="H5" s="3" t="n">
        <v>21280</v>
      </c>
      <c r="I5" s="3" t="n">
        <v>259739.2</v>
      </c>
    </row>
    <row r="6">
      <c r="A6" s="3" t="inlineStr">
        <is>
          <t>C</t>
        </is>
      </c>
      <c r="B6" s="3" t="n">
        <v>25</v>
      </c>
      <c r="C6" s="3" t="n">
        <v>0.6</v>
      </c>
      <c r="D6" s="3" t="n">
        <v>15</v>
      </c>
      <c r="E6" s="3" t="n">
        <v>45000</v>
      </c>
      <c r="F6" s="3" t="n">
        <v>18000</v>
      </c>
      <c r="G6" s="3" t="n">
        <v>3582</v>
      </c>
      <c r="H6" s="3" t="n">
        <v>2850</v>
      </c>
      <c r="I6" s="3" t="n">
        <v>69432</v>
      </c>
    </row>
    <row r="7">
      <c r="A7" s="3" t="inlineStr">
        <is>
          <t>D</t>
        </is>
      </c>
      <c r="B7" s="3" t="n">
        <v>15</v>
      </c>
      <c r="C7" s="3" t="n">
        <v>0.25</v>
      </c>
      <c r="D7" s="3" t="n">
        <v>3.75</v>
      </c>
      <c r="E7" s="3" t="n">
        <v>11250</v>
      </c>
      <c r="F7" s="3" t="n">
        <v>450</v>
      </c>
      <c r="G7" s="3" t="n">
        <v>0</v>
      </c>
      <c r="H7" s="3" t="n">
        <v>0</v>
      </c>
      <c r="I7" s="3" t="n">
        <v>11700</v>
      </c>
    </row>
    <row r="8">
      <c r="A8" s="9" t="inlineStr">
        <is>
          <t>合计</t>
        </is>
      </c>
      <c r="B8" s="9" t="n">
        <v>100</v>
      </c>
      <c r="C8" s="9" t="inlineStr">
        <is>
          <t>-</t>
        </is>
      </c>
      <c r="D8" s="9" t="n">
        <v>70.5</v>
      </c>
      <c r="E8" s="9" t="n">
        <v>211500</v>
      </c>
      <c r="F8" s="9" t="n">
        <v>494850</v>
      </c>
      <c r="G8" s="9" t="n">
        <v>57670.2</v>
      </c>
      <c r="H8" s="9" t="n">
        <v>69255</v>
      </c>
      <c r="I8" s="9" t="n">
        <v>833275.2</v>
      </c>
    </row>
    <row r="10">
      <c r="A10" s="5" t="inlineStr">
        <is>
          <t>结论</t>
        </is>
      </c>
      <c r="B10" t="inlineStr">
        <is>
          <t>12 月后留存 70.5 家</t>
        </is>
      </c>
      <c r="C10" t="inlineStr">
        <is>
          <t>营收 ¥833,275</t>
        </is>
      </c>
      <c r="D10" t="inlineStr">
        <is>
          <t>vs 单引擎 +131%</t>
        </is>
      </c>
      <c r="E10" t="inlineStr">
        <is>
          <t>vs M0 +39%</t>
        </is>
      </c>
      <c r="F10" t="inlineStr">
        <is>
          <t>新引擎贡献 75%</t>
        </is>
      </c>
      <c r="G10" t="inlineStr"/>
      <c r="H10" t="inlineStr"/>
      <c r="I10" t="inlineStr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26" customWidth="1" min="4" max="4"/>
  </cols>
  <sheetData>
    <row r="1">
      <c r="A1" s="1" t="inlineStr">
        <is>
          <t>12 个月总投入（双引擎过渡期）</t>
        </is>
      </c>
    </row>
    <row r="3">
      <c r="A3" s="2" t="inlineStr">
        <is>
          <t>类型</t>
        </is>
      </c>
      <c r="B3" s="2" t="inlineStr">
        <is>
          <t>项目</t>
        </is>
      </c>
      <c r="C3" s="2" t="inlineStr">
        <is>
          <t>金额（元）</t>
        </is>
      </c>
      <c r="D3" s="2" t="inlineStr">
        <is>
          <t>说明</t>
        </is>
      </c>
    </row>
    <row r="4">
      <c r="A4" s="3" t="inlineStr">
        <is>
          <t>一次性</t>
        </is>
      </c>
      <c r="B4" s="3" t="inlineStr">
        <is>
          <t>CEO 拜访行程</t>
        </is>
      </c>
      <c r="C4" s="3" t="n">
        <v>50000</v>
      </c>
      <c r="D4" s="3" t="inlineStr">
        <is>
          <t>4-5 天 + 礼品</t>
        </is>
      </c>
    </row>
    <row r="5">
      <c r="A5" s="3" t="inlineStr">
        <is>
          <t>一次性</t>
        </is>
      </c>
      <c r="B5" s="3" t="inlineStr">
        <is>
          <t>客户成功培训</t>
        </is>
      </c>
      <c r="C5" s="3" t="n">
        <v>30000</v>
      </c>
      <c r="D5" s="3" t="inlineStr">
        <is>
          <t>5 人 + 培训师</t>
        </is>
      </c>
    </row>
    <row r="6">
      <c r="A6" s="3" t="inlineStr">
        <is>
          <t>一次性</t>
        </is>
      </c>
      <c r="B6" s="3" t="inlineStr">
        <is>
          <t>老用户专属礼包</t>
        </is>
      </c>
      <c r="C6" s="3" t="n">
        <v>100000</v>
      </c>
      <c r="D6" s="3" t="inlineStr">
        <is>
          <t>50 条线索 × 100 家 × ¥20</t>
        </is>
      </c>
    </row>
    <row r="7">
      <c r="A7" s="3" t="inlineStr">
        <is>
          <t>一次性</t>
        </is>
      </c>
      <c r="B7" s="3" t="inlineStr">
        <is>
          <t>UI 改版 + 开发</t>
        </is>
      </c>
      <c r="C7" s="3" t="n">
        <v>800000</v>
      </c>
      <c r="D7" s="3" t="inlineStr">
        <is>
          <t>双引擎模块全部开发</t>
        </is>
      </c>
    </row>
    <row r="8">
      <c r="A8" s="3" t="inlineStr">
        <is>
          <t>一次性</t>
        </is>
      </c>
      <c r="B8" s="3" t="inlineStr">
        <is>
          <t>AI 服务(前6月)</t>
        </is>
      </c>
      <c r="C8" s="3" t="n">
        <v>30000</v>
      </c>
      <c r="D8" s="3" t="inlineStr">
        <is>
          <t>OCR + LLM 试用</t>
        </is>
      </c>
    </row>
    <row r="9">
      <c r="A9" s="3" t="inlineStr">
        <is>
          <t>一次性</t>
        </is>
      </c>
      <c r="B9" s="3" t="inlineStr">
        <is>
          <t>反作弊系统</t>
        </is>
      </c>
      <c r="C9" s="3" t="n">
        <v>50000</v>
      </c>
      <c r="D9" s="3" t="inlineStr">
        <is>
          <t>36 条规则上线</t>
        </is>
      </c>
    </row>
    <row r="10">
      <c r="A10" s="10" t="inlineStr">
        <is>
          <t>一次性合计</t>
        </is>
      </c>
      <c r="B10" s="11" t="inlineStr"/>
      <c r="C10" s="10" t="n">
        <v>1060000</v>
      </c>
      <c r="D10" s="11" t="inlineStr"/>
    </row>
    <row r="11">
      <c r="A11" s="3" t="n"/>
      <c r="B11" s="3" t="n"/>
      <c r="C11" s="3" t="n"/>
      <c r="D11" s="3" t="n"/>
    </row>
    <row r="12">
      <c r="A12" s="3" t="inlineStr">
        <is>
          <t>持续</t>
        </is>
      </c>
      <c r="B12" s="3" t="inlineStr">
        <is>
          <t>客户成功（5 人）</t>
        </is>
      </c>
      <c r="C12" s="3" t="n">
        <v>600000</v>
      </c>
      <c r="D12" s="3" t="inlineStr">
        <is>
          <t>月 ¥5 万 × 12</t>
        </is>
      </c>
    </row>
    <row r="13">
      <c r="A13" s="3" t="inlineStr">
        <is>
          <t>持续</t>
        </is>
      </c>
      <c r="B13" s="3" t="inlineStr">
        <is>
          <t>AI 服务（成熟）</t>
        </is>
      </c>
      <c r="C13" s="3" t="n">
        <v>120000</v>
      </c>
      <c r="D13" s="3" t="inlineStr">
        <is>
          <t>月 ¥1 万 × 12</t>
        </is>
      </c>
    </row>
    <row r="14">
      <c r="A14" s="3" t="inlineStr">
        <is>
          <t>持续</t>
        </is>
      </c>
      <c r="B14" s="3" t="inlineStr">
        <is>
          <t>老用户群运营</t>
        </is>
      </c>
      <c r="C14" s="3" t="n">
        <v>240000</v>
      </c>
      <c r="D14" s="3" t="inlineStr">
        <is>
          <t>月 ¥2 万 × 12</t>
        </is>
      </c>
    </row>
    <row r="15">
      <c r="A15" s="3" t="inlineStr">
        <is>
          <t>持续</t>
        </is>
      </c>
      <c r="B15" s="3" t="inlineStr">
        <is>
          <t>反向邀请激励</t>
        </is>
      </c>
      <c r="C15" s="3" t="n">
        <v>360000</v>
      </c>
      <c r="D15" s="3" t="inlineStr">
        <is>
          <t>月 ¥3 万 × 12</t>
        </is>
      </c>
    </row>
    <row r="16">
      <c r="A16" s="3" t="inlineStr">
        <is>
          <t>持续</t>
        </is>
      </c>
      <c r="B16" s="3" t="inlineStr">
        <is>
          <t>客服 SLA 升级</t>
        </is>
      </c>
      <c r="C16" s="3" t="n">
        <v>120000</v>
      </c>
      <c r="D16" s="3" t="inlineStr">
        <is>
          <t>月 ¥1 万 × 12</t>
        </is>
      </c>
    </row>
    <row r="17">
      <c r="A17" s="10" t="inlineStr">
        <is>
          <t>持续合计</t>
        </is>
      </c>
      <c r="B17" s="11" t="inlineStr"/>
      <c r="C17" s="10" t="n">
        <v>1440000</v>
      </c>
      <c r="D17" s="11" t="inlineStr"/>
    </row>
    <row r="18">
      <c r="A18" s="3" t="n"/>
      <c r="B18" s="3" t="n"/>
      <c r="C18" s="3" t="n"/>
      <c r="D18" s="3" t="n"/>
    </row>
    <row r="19">
      <c r="A19" s="12" t="inlineStr">
        <is>
          <t>12 月总投入</t>
        </is>
      </c>
      <c r="B19" s="13" t="inlineStr"/>
      <c r="C19" s="12" t="n">
        <v>2500000</v>
      </c>
      <c r="D19" s="13" t="inlineStr">
        <is>
          <t>¥250 万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2" customWidth="1" min="4" max="4"/>
  </cols>
  <sheetData>
    <row r="1">
      <c r="A1" s="1" t="inlineStr">
        <is>
          <t>三大关键变量敏感性</t>
        </is>
      </c>
    </row>
    <row r="3">
      <c r="A3" s="5" t="inlineStr">
        <is>
          <t>敏感性 1：A 类流量费付费转化率</t>
        </is>
      </c>
    </row>
    <row r="4">
      <c r="A4" s="2" t="inlineStr">
        <is>
          <t>付费率</t>
        </is>
      </c>
      <c r="B4" s="2" t="inlineStr">
        <is>
          <t>年营收（万）</t>
        </is>
      </c>
      <c r="C4" s="2" t="inlineStr">
        <is>
          <t>影响</t>
        </is>
      </c>
      <c r="D4" s="2" t="inlineStr">
        <is>
          <t>情景</t>
        </is>
      </c>
    </row>
    <row r="5">
      <c r="A5" s="3" t="inlineStr">
        <is>
          <t>50%</t>
        </is>
      </c>
      <c r="B5" s="3" t="n">
        <v>72</v>
      </c>
      <c r="C5" s="3" t="inlineStr">
        <is>
          <t>-14%</t>
        </is>
      </c>
      <c r="D5" s="3" t="inlineStr">
        <is>
          <t>保守</t>
        </is>
      </c>
    </row>
    <row r="6">
      <c r="A6" s="3" t="inlineStr">
        <is>
          <t>65%</t>
        </is>
      </c>
      <c r="B6" s="3" t="n">
        <v>78</v>
      </c>
      <c r="C6" s="3" t="inlineStr">
        <is>
          <t>-6%</t>
        </is>
      </c>
      <c r="D6" s="3" t="inlineStr">
        <is>
          <t>略保守</t>
        </is>
      </c>
    </row>
    <row r="7">
      <c r="A7" s="3" t="inlineStr">
        <is>
          <t>80%（基准）</t>
        </is>
      </c>
      <c r="B7" s="3" t="n">
        <v>83.3</v>
      </c>
      <c r="C7" s="3" t="inlineStr">
        <is>
          <t>基准</t>
        </is>
      </c>
      <c r="D7" s="3" t="inlineStr">
        <is>
          <t>常规</t>
        </is>
      </c>
    </row>
    <row r="8">
      <c r="A8" s="3" t="inlineStr">
        <is>
          <t>90%</t>
        </is>
      </c>
      <c r="B8" s="3" t="n">
        <v>87.5</v>
      </c>
      <c r="C8" s="3" t="inlineStr">
        <is>
          <t>+5%</t>
        </is>
      </c>
      <c r="D8" s="3" t="inlineStr">
        <is>
          <t>乐观</t>
        </is>
      </c>
    </row>
    <row r="9">
      <c r="A9" s="3" t="n"/>
      <c r="B9" s="3" t="n"/>
      <c r="C9" s="3" t="n"/>
      <c r="D9" s="3" t="n"/>
    </row>
    <row r="10">
      <c r="A10" s="5" t="inlineStr">
        <is>
          <t>敏感性 2：流量费单价</t>
        </is>
      </c>
      <c r="B10" s="3" t="n"/>
      <c r="C10" s="3" t="n"/>
      <c r="D10" s="3" t="n"/>
    </row>
    <row r="11">
      <c r="A11" s="2" t="inlineStr">
        <is>
          <t>卖家月均消费</t>
        </is>
      </c>
      <c r="B11" s="2" t="inlineStr">
        <is>
          <t>年营收（万）</t>
        </is>
      </c>
      <c r="C11" s="2" t="inlineStr">
        <is>
          <t>影响</t>
        </is>
      </c>
      <c r="D11" s="2" t="inlineStr">
        <is>
          <t>情景</t>
        </is>
      </c>
    </row>
    <row r="12">
      <c r="A12" s="3" t="inlineStr">
        <is>
          <t>¥800</t>
        </is>
      </c>
      <c r="B12" s="3" t="n">
        <v>63</v>
      </c>
      <c r="C12" s="3" t="inlineStr">
        <is>
          <t>-24%</t>
        </is>
      </c>
      <c r="D12" s="3" t="inlineStr">
        <is>
          <t>市场弱</t>
        </is>
      </c>
    </row>
    <row r="13">
      <c r="A13" s="3" t="inlineStr">
        <is>
          <t>¥1200</t>
        </is>
      </c>
      <c r="B13" s="3" t="n">
        <v>74</v>
      </c>
      <c r="C13" s="3" t="inlineStr">
        <is>
          <t>-11%</t>
        </is>
      </c>
      <c r="D13" s="3" t="inlineStr">
        <is>
          <t>中等</t>
        </is>
      </c>
    </row>
    <row r="14">
      <c r="A14" s="3" t="inlineStr">
        <is>
          <t>¥1500（基准）</t>
        </is>
      </c>
      <c r="B14" s="3" t="n">
        <v>83.3</v>
      </c>
      <c r="C14" s="3" t="inlineStr">
        <is>
          <t>基准</t>
        </is>
      </c>
      <c r="D14" s="3" t="inlineStr">
        <is>
          <t>常规</t>
        </is>
      </c>
    </row>
    <row r="15">
      <c r="A15" s="3" t="inlineStr">
        <is>
          <t>¥2000</t>
        </is>
      </c>
      <c r="B15" s="3" t="n">
        <v>98</v>
      </c>
      <c r="C15" s="3" t="inlineStr">
        <is>
          <t>+18%</t>
        </is>
      </c>
      <c r="D15" s="3" t="inlineStr">
        <is>
          <t>市场强</t>
        </is>
      </c>
    </row>
    <row r="16">
      <c r="A16" s="3" t="n"/>
      <c r="B16" s="3" t="n"/>
      <c r="C16" s="3" t="n"/>
      <c r="D16" s="3" t="n"/>
    </row>
    <row r="17">
      <c r="A17" s="5" t="inlineStr">
        <is>
          <t>敏感性 3：A 类续费率</t>
        </is>
      </c>
      <c r="B17" s="3" t="n"/>
      <c r="C17" s="3" t="n"/>
      <c r="D17" s="3" t="n"/>
    </row>
    <row r="18">
      <c r="A18" s="2" t="inlineStr">
        <is>
          <t>A 续费率</t>
        </is>
      </c>
      <c r="B18" s="2" t="inlineStr">
        <is>
          <t>留存</t>
        </is>
      </c>
      <c r="C18" s="2" t="inlineStr">
        <is>
          <t>年营收（万）</t>
        </is>
      </c>
      <c r="D18" s="2" t="inlineStr">
        <is>
          <t>影响</t>
        </is>
      </c>
    </row>
    <row r="19">
      <c r="A19" s="3" t="inlineStr">
        <is>
          <t>85%（不改革）</t>
        </is>
      </c>
      <c r="B19" s="3" t="n">
        <v>21.25</v>
      </c>
      <c r="C19" s="3" t="n">
        <v>74.40000000000001</v>
      </c>
      <c r="D19" s="3" t="inlineStr">
        <is>
          <t>-11%</t>
        </is>
      </c>
    </row>
    <row r="20">
      <c r="A20" s="3" t="inlineStr">
        <is>
          <t>90%（改革打折扣）</t>
        </is>
      </c>
      <c r="B20" s="3" t="n">
        <v>22.5</v>
      </c>
      <c r="C20" s="3" t="n">
        <v>78.90000000000001</v>
      </c>
      <c r="D20" s="3" t="inlineStr">
        <is>
          <t>-5%</t>
        </is>
      </c>
    </row>
    <row r="21">
      <c r="A21" s="3" t="inlineStr">
        <is>
          <t>95%（基准）</t>
        </is>
      </c>
      <c r="B21" s="3" t="n">
        <v>23.75</v>
      </c>
      <c r="C21" s="3" t="n">
        <v>83.3</v>
      </c>
      <c r="D21" s="3" t="inlineStr">
        <is>
          <t>基准</t>
        </is>
      </c>
    </row>
    <row r="22">
      <c r="A22" s="3" t="n"/>
      <c r="B22" s="3" t="n"/>
      <c r="C22" s="3" t="n"/>
      <c r="D22" s="3" t="n"/>
    </row>
    <row r="23">
      <c r="A23" s="5" t="inlineStr">
        <is>
          <t>3 大情景对比</t>
        </is>
      </c>
      <c r="B23" s="3" t="n"/>
      <c r="C23" s="3" t="n"/>
      <c r="D23" s="3" t="n"/>
    </row>
    <row r="24">
      <c r="A24" s="2" t="inlineStr">
        <is>
          <t>情景</t>
        </is>
      </c>
      <c r="B24" s="2" t="inlineStr">
        <is>
          <t>年营收（万）</t>
        </is>
      </c>
      <c r="C24" s="2" t="inlineStr">
        <is>
          <t>变化</t>
        </is>
      </c>
      <c r="D24" s="2" t="inlineStr">
        <is>
          <t>对策</t>
        </is>
      </c>
    </row>
    <row r="25">
      <c r="A25" s="3" t="inlineStr">
        <is>
          <t>基准</t>
        </is>
      </c>
      <c r="B25" s="3" t="n">
        <v>83.3</v>
      </c>
      <c r="C25" s="3" t="inlineStr">
        <is>
          <t>0%</t>
        </is>
      </c>
      <c r="D25" s="3" t="inlineStr">
        <is>
          <t>按计划推进</t>
        </is>
      </c>
    </row>
    <row r="26">
      <c r="A26" s="3" t="inlineStr">
        <is>
          <t>悲观（执行不到位）</t>
        </is>
      </c>
      <c r="B26" s="3" t="n">
        <v>68.7</v>
      </c>
      <c r="C26" s="3" t="inlineStr">
        <is>
          <t>-18%</t>
        </is>
      </c>
      <c r="D26" s="3" t="inlineStr">
        <is>
          <t>加强培训 + 客户成功</t>
        </is>
      </c>
    </row>
    <row r="27">
      <c r="A27" s="3" t="inlineStr">
        <is>
          <t>极端（反弹 + 抵制）</t>
        </is>
      </c>
      <c r="B27" s="3" t="n">
        <v>35</v>
      </c>
      <c r="C27" s="3" t="inlineStr">
        <is>
          <t>-58%</t>
        </is>
      </c>
      <c r="D27" s="3" t="inlineStr">
        <is>
          <t>立即回滚 + 委员会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12 个月全景预测（含新用户增长）</t>
        </is>
      </c>
    </row>
    <row r="3">
      <c r="A3" s="2" t="inlineStr">
        <is>
          <t>月份</t>
        </is>
      </c>
      <c r="B3" s="2" t="inlineStr">
        <is>
          <t>老 100 家月营收</t>
        </is>
      </c>
      <c r="C3" s="2" t="inlineStr">
        <is>
          <t>新增卖家累计</t>
        </is>
      </c>
      <c r="D3" s="2" t="inlineStr">
        <is>
          <t>新用户月营收</t>
        </is>
      </c>
      <c r="E3" s="2" t="inlineStr">
        <is>
          <t>总月营收</t>
        </is>
      </c>
      <c r="F3" s="2" t="inlineStr">
        <is>
          <t>累计营收</t>
        </is>
      </c>
    </row>
    <row r="4">
      <c r="A4" s="3" t="inlineStr">
        <is>
          <t>M1</t>
        </is>
      </c>
      <c r="B4" s="3" t="n">
        <v>50000</v>
      </c>
      <c r="C4" s="3" t="n">
        <v>50</v>
      </c>
      <c r="D4" s="3" t="n">
        <v>17500</v>
      </c>
      <c r="E4" s="3" t="n">
        <v>67500</v>
      </c>
      <c r="F4" s="3" t="n">
        <v>67500</v>
      </c>
    </row>
    <row r="5">
      <c r="A5" s="3" t="inlineStr">
        <is>
          <t>M3</t>
        </is>
      </c>
      <c r="B5" s="3" t="n">
        <v>60000</v>
      </c>
      <c r="C5" s="3" t="n">
        <v>300</v>
      </c>
      <c r="D5" s="3" t="n">
        <v>27000</v>
      </c>
      <c r="E5" s="3" t="n">
        <v>87000</v>
      </c>
      <c r="F5" s="3" t="n">
        <v>154500</v>
      </c>
    </row>
    <row r="6">
      <c r="A6" s="3" t="inlineStr">
        <is>
          <t>M6</t>
        </is>
      </c>
      <c r="B6" s="3" t="n">
        <v>65000</v>
      </c>
      <c r="C6" s="3" t="n">
        <v>1500</v>
      </c>
      <c r="D6" s="3" t="n">
        <v>62000</v>
      </c>
      <c r="E6" s="3" t="n">
        <v>127000</v>
      </c>
      <c r="F6" s="3" t="n">
        <v>281500</v>
      </c>
    </row>
    <row r="7">
      <c r="A7" s="3" t="inlineStr">
        <is>
          <t>M9</t>
        </is>
      </c>
      <c r="B7" s="3" t="n">
        <v>67000</v>
      </c>
      <c r="C7" s="3" t="n">
        <v>3000</v>
      </c>
      <c r="D7" s="3" t="n">
        <v>149000</v>
      </c>
      <c r="E7" s="3" t="n">
        <v>216000</v>
      </c>
      <c r="F7" s="3" t="n">
        <v>497500</v>
      </c>
    </row>
    <row r="8">
      <c r="A8" s="3" t="inlineStr">
        <is>
          <t>M12</t>
        </is>
      </c>
      <c r="B8" s="3" t="n">
        <v>69440</v>
      </c>
      <c r="C8" s="3" t="n">
        <v>5000</v>
      </c>
      <c r="D8" s="3" t="n">
        <v>280000</v>
      </c>
      <c r="E8" s="3" t="n">
        <v>349440</v>
      </c>
      <c r="F8" s="3" t="n">
        <v>846940</v>
      </c>
    </row>
    <row r="10">
      <c r="A10" s="5" t="inlineStr">
        <is>
          <t>核心数字</t>
        </is>
      </c>
    </row>
    <row r="11">
      <c r="A11" t="inlineStr">
        <is>
          <t>指标</t>
        </is>
      </c>
      <c r="B11" t="inlineStr">
        <is>
          <t>数值</t>
        </is>
      </c>
      <c r="C11" t="inlineStr"/>
      <c r="D11" t="inlineStr"/>
      <c r="E11" t="inlineStr"/>
      <c r="F11" t="inlineStr"/>
    </row>
    <row r="12">
      <c r="A12" t="inlineStr">
        <is>
          <t>M12 月总营收</t>
        </is>
      </c>
      <c r="B12" t="inlineStr">
        <is>
          <t>¥34.9 万</t>
        </is>
      </c>
      <c r="C12" t="inlineStr">
        <is>
          <t>其中老 100 家贡献</t>
        </is>
      </c>
      <c r="D12" t="inlineStr">
        <is>
          <t>¥7 万（20%）</t>
        </is>
      </c>
      <c r="E12" t="inlineStr">
        <is>
          <t>新用户贡献</t>
        </is>
      </c>
      <c r="F12" t="inlineStr">
        <is>
          <t>¥28 万（80%）</t>
        </is>
      </c>
    </row>
    <row r="13">
      <c r="A13" t="inlineStr">
        <is>
          <t>12 月累计</t>
        </is>
      </c>
      <c r="B13" t="inlineStr">
        <is>
          <t>¥246 万</t>
        </is>
      </c>
      <c r="C13" t="inlineStr">
        <is>
          <t>vs 单引擎累计 ¥150 万</t>
        </is>
      </c>
      <c r="D13" t="inlineStr">
        <is>
          <t>+64%</t>
        </is>
      </c>
      <c r="E13" t="inlineStr"/>
      <c r="F13" t="inlineStr"/>
    </row>
    <row r="14">
      <c r="A14" t="inlineStr">
        <is>
          <t>增量 ROI</t>
        </is>
      </c>
      <c r="B14" t="inlineStr">
        <is>
          <t>12 月 +¥96 万 / 投入 ¥250 万</t>
        </is>
      </c>
      <c r="C14">
        <f> 38%</f>
        <v/>
      </c>
      <c r="D14" t="inlineStr"/>
      <c r="E14" t="inlineStr"/>
      <c r="F1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2026-05-23T09:23:14Z</dcterms:created>
  <dcterms:modified xsi:type="dcterms:W3CDTF">2026-05-23T09:23:14Z</dcterms:modified>
</cp:coreProperties>
</file>